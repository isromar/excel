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2" yWindow="-122" windowWidth="20725" windowHeight="11044"/>
  </bookViews>
  <sheets>
    <sheet name="Datos" sheetId="2" r:id="rId1"/>
    <sheet name="enero" sheetId="13" r:id="rId2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" i="13" l="1"/>
  <c r="E26" i="13"/>
  <c r="E25" i="13"/>
  <c r="E24" i="13"/>
  <c r="E23" i="13"/>
  <c r="E22" i="13"/>
  <c r="E21" i="13"/>
  <c r="E20" i="13"/>
  <c r="E18" i="13"/>
  <c r="E17" i="13"/>
  <c r="E16" i="13"/>
  <c r="E15" i="13"/>
  <c r="E14" i="13"/>
  <c r="E13" i="13"/>
  <c r="E12" i="13"/>
  <c r="E11" i="13"/>
  <c r="E10" i="13"/>
  <c r="E9" i="13"/>
  <c r="E8" i="13"/>
  <c r="E6" i="13"/>
  <c r="E5" i="13"/>
</calcChain>
</file>

<file path=xl/sharedStrings.xml><?xml version="1.0" encoding="utf-8"?>
<sst xmlns="http://schemas.openxmlformats.org/spreadsheetml/2006/main" count="67" uniqueCount="42">
  <si>
    <t>Miércoles</t>
  </si>
  <si>
    <t>Jueves</t>
  </si>
  <si>
    <t>Viernes</t>
  </si>
  <si>
    <t>Lunes</t>
  </si>
  <si>
    <t>Martes</t>
  </si>
  <si>
    <t>Mes</t>
  </si>
  <si>
    <t>Hora de entrada</t>
  </si>
  <si>
    <t>Hora de salida</t>
  </si>
  <si>
    <t>Año</t>
  </si>
  <si>
    <t>Instrucciones:</t>
  </si>
  <si>
    <t>Completar los campos de las celdas en verde</t>
  </si>
  <si>
    <t>Atención:</t>
  </si>
  <si>
    <t>Pulsar el botón 'Generar mes'</t>
  </si>
  <si>
    <t>Pausa comer (h)</t>
  </si>
  <si>
    <t>Días festivos</t>
  </si>
  <si>
    <t>En caso de existir una 'Hoja' con el nombre del mes, la borrará antes de crear la nueva</t>
  </si>
  <si>
    <t>FECHA DE JORNADA LABORAL</t>
  </si>
  <si>
    <t>DIA</t>
  </si>
  <si>
    <t>HORA DE ENTRADA</t>
  </si>
  <si>
    <t>HORA DE SALIDA</t>
  </si>
  <si>
    <t>HORAS TRABAJADAS</t>
  </si>
  <si>
    <t>Festivo</t>
  </si>
  <si>
    <t>TOTAL HORAS:</t>
  </si>
  <si>
    <t>MES: enero 2025</t>
  </si>
  <si>
    <t>13/01/2025</t>
  </si>
  <si>
    <t>14/01/2025</t>
  </si>
  <si>
    <t>15/01/2025</t>
  </si>
  <si>
    <t>16/01/2025</t>
  </si>
  <si>
    <t>17/01/2025</t>
  </si>
  <si>
    <t>20/01/2025</t>
  </si>
  <si>
    <t>21/01/2025</t>
  </si>
  <si>
    <t>22/01/2025</t>
  </si>
  <si>
    <t>23/01/2025</t>
  </si>
  <si>
    <t>24/01/2025</t>
  </si>
  <si>
    <t>27/01/2025</t>
  </si>
  <si>
    <t>28/01/2025</t>
  </si>
  <si>
    <t>29/01/2025</t>
  </si>
  <si>
    <t>30/01/2025</t>
  </si>
  <si>
    <t>31/01/2025</t>
  </si>
  <si>
    <t>TRABAJADOR:</t>
  </si>
  <si>
    <t>En 'Días Festivos' escribir el día del mes que es festivo</t>
  </si>
  <si>
    <t>Si son vacaciones indicar el día en 'Días Festivos'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</si>
</sst>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;@"/>
    <numFmt numFmtId="165" formatCode="hh:mm:ss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000000"/>
      <name val="Caladea"/>
      <family val="1"/>
    </font>
    <font>
      <b/>
      <sz val="11"/>
      <color rgb="FFFFFFF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D3D3D3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96C864"/>
        <bgColor indexed="64"/>
      </patternFill>
    </fill>
    <fill>
      <patternFill patternType="solid">
        <fgColor rgb="FF00D8F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6" fillId="4" borderId="0" applyNumberFormat="0" applyBorder="0" applyAlignment="0" applyProtection="0"/>
    <xf numFmtId="0" fontId="7" fillId="5" borderId="0" applyNumberFormat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0" fillId="0" borderId="0" xfId="0" applyNumberFormat="1"/>
    <xf numFmtId="0" fontId="4" fillId="3" borderId="1" xfId="2" applyNumberFormat="1" applyFont="1"/>
    <xf numFmtId="0" fontId="4" fillId="3" borderId="1" xfId="2" applyFont="1"/>
    <xf numFmtId="0" fontId="2" fillId="2" borderId="1" xfId="1" applyNumberFormat="1" applyBorder="1"/>
    <xf numFmtId="0" fontId="5" fillId="2" borderId="1" xfId="1" applyNumberFormat="1" applyFont="1" applyBorder="1"/>
    <xf numFmtId="0" fontId="1" fillId="0" borderId="0" xfId="0" applyNumberFormat="1" applyFont="1"/>
    <xf numFmtId="0" fontId="6" fillId="4" borderId="0" xfId="3"/>
    <xf numFmtId="0" fontId="7" fillId="5" borderId="0" xfId="4"/>
    <xf numFmtId="0" fontId="8" fillId="4" borderId="0" xfId="3" applyFont="1"/>
    <xf numFmtId="0" fontId="9" fillId="5" borderId="0" xfId="4" applyFont="1" applyBorder="1"/>
    <xf numFmtId="164" fontId="2" fillId="2" borderId="1" xfId="1" applyNumberFormat="1" applyBorder="1"/>
    <xf numFmtId="20" fontId="0" fillId="0" borderId="0" xfId="0" applyNumberFormat="1"/>
    <xf numFmtId="165" fontId="1" fillId="0" borderId="0" xfId="0" applyNumberFormat="1" applyFont="1"/>
    <xf numFmtId="165" fontId="0" fillId="0" borderId="0" xfId="0" applyNumberFormat="1"/>
    <xf numFmtId="20" fontId="1" fillId="0" borderId="0" xfId="0" applyNumberFormat="1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165" fontId="0" fillId="6" borderId="0" xfId="0" applyNumberFormat="1" applyFill="1" applyAlignment="1">
      <alignment horizontal="center"/>
    </xf>
    <xf numFmtId="20" fontId="0" fillId="6" borderId="0" xfId="0" applyNumberFormat="1" applyFill="1" applyAlignment="1">
      <alignment horizontal="center"/>
    </xf>
    <xf numFmtId="0" fontId="11" fillId="7" borderId="0" xfId="0" applyFont="1" applyFill="1" applyAlignment="1">
      <alignment horizontal="center"/>
    </xf>
    <xf numFmtId="20" fontId="11" fillId="7" borderId="0" xfId="0" applyNumberFormat="1" applyFont="1" applyFill="1" applyAlignment="1">
      <alignment horizontal="center"/>
    </xf>
    <xf numFmtId="165" fontId="11" fillId="8" borderId="0" xfId="0" applyNumberFormat="1" applyFont="1" applyFill="1" applyAlignment="1">
      <alignment horizontal="center"/>
    </xf>
    <xf numFmtId="165" fontId="11" fillId="9" borderId="0" xfId="0" applyNumberFormat="1" applyFont="1" applyFill="1" applyAlignment="1">
      <alignment horizontal="center"/>
    </xf>
    <xf numFmtId="165" fontId="1" fillId="10" borderId="0" xfId="0" applyNumberFormat="1" applyFont="1" applyFill="1"/>
    <xf numFmtId="46" fontId="1" fillId="10" borderId="0" xfId="0" applyNumberFormat="1" applyFont="1" applyFill="1"/>
    <xf numFmtId="0" fontId="1" fillId="0" borderId="0" xfId="0" applyFont="1"/>
    <xf numFmtId="14" fontId="0" fillId="0" borderId="0" xfId="0" applyNumberFormat="1" applyAlignment="1">
      <alignment horizontal="center"/>
    </xf>
    <xf numFmtId="14" fontId="0" fillId="6" borderId="0" xfId="0" applyNumberFormat="1" applyFill="1" applyAlignment="1">
      <alignment horizontal="center"/>
    </xf>
    <xf numFmtId="0" fontId="1" fillId="0" borderId="0" xfId="0" applyFont="1"/>
  </cellXfs>
  <cellStyles count="5">
    <cellStyle name="Buena" xfId="1" builtinId="26"/>
    <cellStyle name="Entrada" xfId="2" builtinId="20"/>
    <cellStyle name="Incorrecto" xfId="3" builtinId="27"/>
    <cellStyle name="Neutral" xfId="4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147711</xdr:colOff>
          <xdr:row>0</xdr:row>
          <xdr:rowOff>133643</xdr:rowOff>
        </xdr:from>
        <xdr:to>
          <xdr:col>9</xdr:col>
          <xdr:colOff>119575</xdr:colOff>
          <xdr:row>3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adea"/>
                </a:rPr>
                <a:t>Generar 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20"/>
  <sheetViews>
    <sheetView tabSelected="1" zoomScale="115" zoomScaleNormal="115" workbookViewId="0">
      <selection activeCell="A2" sqref="A2"/>
    </sheetView>
  </sheetViews>
  <sheetFormatPr baseColWidth="10" defaultRowHeight="14.4" x14ac:dyDescent="0.3"/>
  <cols>
    <col min="1" max="1" width="11.3984375" style="2" bestFit="1" customWidth="1"/>
    <col min="2" max="2" width="11.796875" style="2" bestFit="1" customWidth="1"/>
    <col min="3" max="3" width="4.19921875" style="2" customWidth="1"/>
    <col min="5" max="5" width="14.69921875" bestFit="1" customWidth="1"/>
    <col min="6" max="6" width="13" bestFit="1" customWidth="1"/>
    <col min="7" max="7" width="14.3984375" bestFit="1" customWidth="1"/>
  </cols>
  <sheetData>
    <row r="1" spans="1:9" x14ac:dyDescent="0.3">
      <c r="A1" s="3" t="s">
        <v>8</v>
      </c>
      <c r="B1" s="3" t="s">
        <v>5</v>
      </c>
      <c r="C1"/>
      <c r="D1" s="1"/>
      <c r="E1" s="4" t="s">
        <v>6</v>
      </c>
      <c r="F1" s="4" t="s">
        <v>7</v>
      </c>
      <c r="G1" s="4" t="s">
        <v>13</v>
      </c>
    </row>
    <row r="2" spans="1:9" x14ac:dyDescent="0.3">
      <c r="A2" s="6">
        <v>2025</v>
      </c>
      <c r="B2" s="6">
        <v>1</v>
      </c>
      <c r="C2"/>
      <c r="D2" s="4" t="s">
        <v>3</v>
      </c>
      <c r="E2" s="12">
        <v>0.33333333333333331</v>
      </c>
      <c r="F2" s="12">
        <v>0.70833333333333337</v>
      </c>
      <c r="G2" s="5">
        <v>1</v>
      </c>
    </row>
    <row r="3" spans="1:9" x14ac:dyDescent="0.3">
      <c r="A3" s="7"/>
      <c r="B3"/>
      <c r="C3"/>
      <c r="D3" s="4" t="s">
        <v>4</v>
      </c>
      <c r="E3" s="12">
        <v>0.33333333333333331</v>
      </c>
      <c r="F3" s="12">
        <v>0.70833333333333337</v>
      </c>
      <c r="G3" s="5">
        <v>1</v>
      </c>
    </row>
    <row r="4" spans="1:9" x14ac:dyDescent="0.3">
      <c r="A4" s="4" t="s">
        <v>14</v>
      </c>
      <c r="B4"/>
      <c r="C4"/>
      <c r="D4" s="4" t="s">
        <v>0</v>
      </c>
      <c r="E4" s="12">
        <v>0.33333333333333331</v>
      </c>
      <c r="F4" s="12">
        <v>0.70833333333333337</v>
      </c>
      <c r="G4" s="5">
        <v>1</v>
      </c>
    </row>
    <row r="5" spans="1:9" x14ac:dyDescent="0.3">
      <c r="A5" s="5">
        <v>1</v>
      </c>
      <c r="B5"/>
      <c r="C5"/>
      <c r="D5" s="4" t="s">
        <v>1</v>
      </c>
      <c r="E5" s="12">
        <v>0.33333333333333331</v>
      </c>
      <c r="F5" s="12">
        <v>0.70833333333333337</v>
      </c>
      <c r="G5" s="5">
        <v>1</v>
      </c>
    </row>
    <row r="6" spans="1:9" x14ac:dyDescent="0.3">
      <c r="A6" s="5">
        <v>6</v>
      </c>
      <c r="B6"/>
      <c r="C6"/>
      <c r="D6" s="4" t="s">
        <v>2</v>
      </c>
      <c r="E6" s="12">
        <v>0.33333333333333331</v>
      </c>
      <c r="F6" s="12">
        <v>0.60416666666666663</v>
      </c>
      <c r="G6" s="5">
        <v>0</v>
      </c>
    </row>
    <row r="7" spans="1:9" x14ac:dyDescent="0.3">
      <c r="A7" s="5">
        <v>22</v>
      </c>
      <c r="B7"/>
      <c r="C7"/>
    </row>
    <row r="8" spans="1:9" x14ac:dyDescent="0.3">
      <c r="A8" s="5"/>
      <c r="B8"/>
      <c r="C8"/>
    </row>
    <row r="9" spans="1:9" x14ac:dyDescent="0.3">
      <c r="A9" s="5"/>
      <c r="B9"/>
      <c r="C9"/>
      <c r="D9" s="11" t="s">
        <v>9</v>
      </c>
      <c r="E9" s="9"/>
      <c r="F9" s="9"/>
      <c r="G9" s="9"/>
    </row>
    <row r="10" spans="1:9" x14ac:dyDescent="0.3">
      <c r="A10" s="5"/>
      <c r="B10"/>
      <c r="C10"/>
      <c r="D10" s="9" t="s">
        <v>10</v>
      </c>
      <c r="E10" s="9"/>
      <c r="F10" s="9"/>
      <c r="G10" s="9"/>
    </row>
    <row r="11" spans="1:9" x14ac:dyDescent="0.3">
      <c r="A11" s="5"/>
      <c r="B11"/>
      <c r="C11"/>
      <c r="D11" s="9" t="s">
        <v>12</v>
      </c>
      <c r="E11" s="9"/>
      <c r="F11" s="9"/>
      <c r="G11" s="9"/>
    </row>
    <row r="12" spans="1:9" x14ac:dyDescent="0.3">
      <c r="A12" s="5"/>
      <c r="B12"/>
      <c r="C12"/>
      <c r="D12" s="9" t="s">
        <v>40</v>
      </c>
      <c r="E12" s="9"/>
      <c r="F12" s="9"/>
      <c r="G12" s="9"/>
    </row>
    <row r="13" spans="1:9" x14ac:dyDescent="0.3">
      <c r="A13" s="5"/>
      <c r="B13"/>
      <c r="C13"/>
      <c r="D13" s="9" t="s">
        <v>41</v>
      </c>
      <c r="E13" s="9"/>
      <c r="F13" s="9"/>
      <c r="G13" s="9"/>
    </row>
    <row r="14" spans="1:9" x14ac:dyDescent="0.3">
      <c r="A14" s="5"/>
      <c r="B14"/>
      <c r="C14"/>
    </row>
    <row r="15" spans="1:9" x14ac:dyDescent="0.3">
      <c r="A15" s="5"/>
      <c r="B15"/>
      <c r="C15"/>
      <c r="D15" s="10" t="s">
        <v>11</v>
      </c>
      <c r="E15" s="8"/>
      <c r="F15" s="8"/>
      <c r="G15" s="8"/>
      <c r="H15" s="8"/>
      <c r="I15" s="8"/>
    </row>
    <row r="16" spans="1:9" x14ac:dyDescent="0.3">
      <c r="A16" s="5"/>
      <c r="B16"/>
      <c r="C16"/>
      <c r="D16" s="8" t="s">
        <v>15</v>
      </c>
      <c r="E16" s="8"/>
      <c r="F16" s="8"/>
      <c r="G16" s="8"/>
      <c r="H16" s="8"/>
      <c r="I16" s="8"/>
    </row>
    <row r="17" spans="1:3" x14ac:dyDescent="0.3">
      <c r="A17" s="5"/>
      <c r="B17"/>
      <c r="C17"/>
    </row>
    <row r="18" spans="1:3" x14ac:dyDescent="0.3">
      <c r="A18" s="5"/>
      <c r="B18"/>
      <c r="C18"/>
    </row>
    <row r="19" spans="1:3" x14ac:dyDescent="0.3">
      <c r="B19"/>
    </row>
    <row r="20" spans="1:3" x14ac:dyDescent="0.3">
      <c r="B20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Tabla">
                <anchor moveWithCells="1" sizeWithCells="1">
                  <from>
                    <xdr:col>7</xdr:col>
                    <xdr:colOff>147711</xdr:colOff>
                    <xdr:row>0</xdr:row>
                    <xdr:rowOff>133643</xdr:rowOff>
                  </from>
                  <to>
                    <xdr:col>9</xdr:col>
                    <xdr:colOff>119575</xdr:colOff>
                    <xdr:row>3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29"/>
  <sheetViews>
    <sheetView zoomScaleNormal="100" workbookViewId="0">
      <selection sqref="A1:E1"/>
    </sheetView>
  </sheetViews>
  <sheetFormatPr baseColWidth="10" defaultRowHeight="14.4" x14ac:dyDescent="0.3"/>
  <cols>
    <col min="1" max="2" width="26.69921875" customWidth="1"/>
    <col min="3" max="4" width="21.69921875" style="15" customWidth="1"/>
    <col min="5" max="5" width="21.69921875" style="13" customWidth="1"/>
  </cols>
  <sheetData>
    <row r="1" spans="1:5" x14ac:dyDescent="0.3">
      <c r="A1" s="32" t="s">
        <v>39</v>
      </c>
      <c r="B1" s="32"/>
      <c r="C1" s="32"/>
      <c r="D1" s="32"/>
      <c r="E1" s="32"/>
    </row>
    <row r="2" spans="1:5" x14ac:dyDescent="0.3">
      <c r="A2" s="29" t="s">
        <v>23</v>
      </c>
      <c r="B2" s="29"/>
      <c r="C2" s="14"/>
      <c r="D2" s="14"/>
      <c r="E2" s="16"/>
    </row>
    <row r="3" spans="1:5" x14ac:dyDescent="0.3">
      <c r="A3" s="23" t="s">
        <v>16</v>
      </c>
      <c r="B3" s="23" t="s">
        <v>17</v>
      </c>
      <c r="C3" s="25" t="s">
        <v>18</v>
      </c>
      <c r="D3" s="26" t="s">
        <v>19</v>
      </c>
      <c r="E3" s="24" t="s">
        <v>20</v>
      </c>
    </row>
    <row r="4" spans="1:5" x14ac:dyDescent="0.3">
      <c r="A4" s="30">
        <v>45658</v>
      </c>
      <c r="B4" s="17" t="s">
        <v>0</v>
      </c>
      <c r="C4" s="18"/>
      <c r="D4" s="18"/>
      <c r="E4" s="19" t="s">
        <v>21</v>
      </c>
    </row>
    <row r="5" spans="1:5" x14ac:dyDescent="0.3">
      <c r="A5" s="30">
        <v>45659</v>
      </c>
      <c r="B5" s="17" t="s">
        <v>1</v>
      </c>
      <c r="C5" s="18">
        <v>0.33333333333333331</v>
      </c>
      <c r="D5" s="18">
        <v>0.70833333333333337</v>
      </c>
      <c r="E5" s="19">
        <f>(D5-C5)-TIME(1,0,0)</f>
        <v>0.33333333333333337</v>
      </c>
    </row>
    <row r="6" spans="1:5" x14ac:dyDescent="0.3">
      <c r="A6" s="31">
        <v>45660</v>
      </c>
      <c r="B6" s="20" t="s">
        <v>2</v>
      </c>
      <c r="C6" s="21">
        <v>0.33333333333333331</v>
      </c>
      <c r="D6" s="21">
        <v>0.60416666666666663</v>
      </c>
      <c r="E6" s="22">
        <f>(D6-C6)-TIME(0,0,0)</f>
        <v>0.27083333333333331</v>
      </c>
    </row>
    <row r="7" spans="1:5" x14ac:dyDescent="0.3">
      <c r="A7" s="30">
        <v>45663</v>
      </c>
      <c r="B7" s="17" t="s">
        <v>3</v>
      </c>
      <c r="C7" s="18"/>
      <c r="D7" s="18"/>
      <c r="E7" s="19" t="s">
        <v>21</v>
      </c>
    </row>
    <row r="8" spans="1:5" x14ac:dyDescent="0.3">
      <c r="A8" s="30">
        <v>45664</v>
      </c>
      <c r="B8" s="17" t="s">
        <v>4</v>
      </c>
      <c r="C8" s="18">
        <v>0.33333333333333331</v>
      </c>
      <c r="D8" s="18">
        <v>0.70833333333333337</v>
      </c>
      <c r="E8" s="19">
        <f>(D8-C8)-TIME(1,0,0)</f>
        <v>0.33333333333333337</v>
      </c>
    </row>
    <row r="9" spans="1:5" x14ac:dyDescent="0.3">
      <c r="A9" s="30">
        <v>45665</v>
      </c>
      <c r="B9" s="17" t="s">
        <v>0</v>
      </c>
      <c r="C9" s="18">
        <v>0.33333333333333331</v>
      </c>
      <c r="D9" s="18">
        <v>0.70833333333333337</v>
      </c>
      <c r="E9" s="19">
        <f>(D9-C9)-TIME(1,0,0)</f>
        <v>0.33333333333333337</v>
      </c>
    </row>
    <row r="10" spans="1:5" x14ac:dyDescent="0.3">
      <c r="A10" s="30">
        <v>45666</v>
      </c>
      <c r="B10" s="17" t="s">
        <v>1</v>
      </c>
      <c r="C10" s="18">
        <v>0.33333333333333331</v>
      </c>
      <c r="D10" s="18">
        <v>0.70833333333333337</v>
      </c>
      <c r="E10" s="19">
        <f>(D10-C10)-TIME(1,0,0)</f>
        <v>0.33333333333333337</v>
      </c>
    </row>
    <row r="11" spans="1:5" x14ac:dyDescent="0.3">
      <c r="A11" s="31">
        <v>45667</v>
      </c>
      <c r="B11" s="20" t="s">
        <v>2</v>
      </c>
      <c r="C11" s="21">
        <v>0.33333333333333331</v>
      </c>
      <c r="D11" s="21">
        <v>0.60416666666666663</v>
      </c>
      <c r="E11" s="22">
        <f>(D11-C11)-TIME(0,0,0)</f>
        <v>0.27083333333333331</v>
      </c>
    </row>
    <row r="12" spans="1:5" x14ac:dyDescent="0.3">
      <c r="A12" s="30" t="s">
        <v>24</v>
      </c>
      <c r="B12" s="17" t="s">
        <v>3</v>
      </c>
      <c r="C12" s="18">
        <v>0.33333333333333331</v>
      </c>
      <c r="D12" s="18">
        <v>0.70833333333333337</v>
      </c>
      <c r="E12" s="19">
        <f>(D12-C12)-TIME(1,0,0)</f>
        <v>0.33333333333333337</v>
      </c>
    </row>
    <row r="13" spans="1:5" x14ac:dyDescent="0.3">
      <c r="A13" s="30" t="s">
        <v>25</v>
      </c>
      <c r="B13" s="17" t="s">
        <v>4</v>
      </c>
      <c r="C13" s="18">
        <v>0.33333333333333331</v>
      </c>
      <c r="D13" s="18">
        <v>0.70833333333333337</v>
      </c>
      <c r="E13" s="19">
        <f>(D13-C13)-TIME(1,0,0)</f>
        <v>0.33333333333333337</v>
      </c>
    </row>
    <row r="14" spans="1:5" x14ac:dyDescent="0.3">
      <c r="A14" s="30" t="s">
        <v>26</v>
      </c>
      <c r="B14" s="17" t="s">
        <v>0</v>
      </c>
      <c r="C14" s="18">
        <v>0.33333333333333331</v>
      </c>
      <c r="D14" s="18">
        <v>0.70833333333333337</v>
      </c>
      <c r="E14" s="19">
        <f>(D14-C14)-TIME(1,0,0)</f>
        <v>0.33333333333333337</v>
      </c>
    </row>
    <row r="15" spans="1:5" x14ac:dyDescent="0.3">
      <c r="A15" s="30" t="s">
        <v>27</v>
      </c>
      <c r="B15" s="17" t="s">
        <v>1</v>
      </c>
      <c r="C15" s="18">
        <v>0.33333333333333331</v>
      </c>
      <c r="D15" s="18">
        <v>0.70833333333333337</v>
      </c>
      <c r="E15" s="19">
        <f>(D15-C15)-TIME(1,0,0)</f>
        <v>0.33333333333333337</v>
      </c>
    </row>
    <row r="16" spans="1:5" x14ac:dyDescent="0.3">
      <c r="A16" s="31" t="s">
        <v>28</v>
      </c>
      <c r="B16" s="20" t="s">
        <v>2</v>
      </c>
      <c r="C16" s="21">
        <v>0.33333333333333331</v>
      </c>
      <c r="D16" s="21">
        <v>0.60416666666666663</v>
      </c>
      <c r="E16" s="22">
        <f>(D16-C16)-TIME(0,0,0)</f>
        <v>0.27083333333333331</v>
      </c>
    </row>
    <row r="17" spans="1:5" x14ac:dyDescent="0.3">
      <c r="A17" s="30" t="s">
        <v>29</v>
      </c>
      <c r="B17" s="17" t="s">
        <v>3</v>
      </c>
      <c r="C17" s="18">
        <v>0.33333333333333331</v>
      </c>
      <c r="D17" s="18">
        <v>0.70833333333333337</v>
      </c>
      <c r="E17" s="19">
        <f>(D17-C17)-TIME(1,0,0)</f>
        <v>0.33333333333333337</v>
      </c>
    </row>
    <row r="18" spans="1:5" x14ac:dyDescent="0.3">
      <c r="A18" s="30" t="s">
        <v>30</v>
      </c>
      <c r="B18" s="17" t="s">
        <v>4</v>
      </c>
      <c r="C18" s="18">
        <v>0.33333333333333331</v>
      </c>
      <c r="D18" s="18">
        <v>0.70833333333333337</v>
      </c>
      <c r="E18" s="19">
        <f>(D18-C18)-TIME(1,0,0)</f>
        <v>0.33333333333333337</v>
      </c>
    </row>
    <row r="19" spans="1:5" x14ac:dyDescent="0.3">
      <c r="A19" s="30" t="s">
        <v>31</v>
      </c>
      <c r="B19" s="17" t="s">
        <v>0</v>
      </c>
      <c r="C19" s="18"/>
      <c r="D19" s="18"/>
      <c r="E19" s="19" t="s">
        <v>21</v>
      </c>
    </row>
    <row r="20" spans="1:5" x14ac:dyDescent="0.3">
      <c r="A20" s="30" t="s">
        <v>32</v>
      </c>
      <c r="B20" s="17" t="s">
        <v>1</v>
      </c>
      <c r="C20" s="18">
        <v>0.33333333333333331</v>
      </c>
      <c r="D20" s="18">
        <v>0.70833333333333337</v>
      </c>
      <c r="E20" s="19">
        <f>(D20-C20)-TIME(1,0,0)</f>
        <v>0.33333333333333337</v>
      </c>
    </row>
    <row r="21" spans="1:5" x14ac:dyDescent="0.3">
      <c r="A21" s="31" t="s">
        <v>33</v>
      </c>
      <c r="B21" s="20" t="s">
        <v>2</v>
      </c>
      <c r="C21" s="21">
        <v>0.33333333333333331</v>
      </c>
      <c r="D21" s="21">
        <v>0.60416666666666663</v>
      </c>
      <c r="E21" s="22">
        <f>(D21-C21)-TIME(0,0,0)</f>
        <v>0.27083333333333331</v>
      </c>
    </row>
    <row r="22" spans="1:5" x14ac:dyDescent="0.3">
      <c r="A22" s="30" t="s">
        <v>34</v>
      </c>
      <c r="B22" s="17" t="s">
        <v>3</v>
      </c>
      <c r="C22" s="18">
        <v>0.33333333333333331</v>
      </c>
      <c r="D22" s="18">
        <v>0.70833333333333337</v>
      </c>
      <c r="E22" s="19">
        <f>(D22-C22)-TIME(1,0,0)</f>
        <v>0.33333333333333337</v>
      </c>
    </row>
    <row r="23" spans="1:5" x14ac:dyDescent="0.3">
      <c r="A23" s="30" t="s">
        <v>35</v>
      </c>
      <c r="B23" s="17" t="s">
        <v>4</v>
      </c>
      <c r="C23" s="18">
        <v>0.33333333333333331</v>
      </c>
      <c r="D23" s="18">
        <v>0.70833333333333337</v>
      </c>
      <c r="E23" s="19">
        <f>(D23-C23)-TIME(1,0,0)</f>
        <v>0.33333333333333337</v>
      </c>
    </row>
    <row r="24" spans="1:5" x14ac:dyDescent="0.3">
      <c r="A24" s="30" t="s">
        <v>36</v>
      </c>
      <c r="B24" s="17" t="s">
        <v>0</v>
      </c>
      <c r="C24" s="18">
        <v>0.33333333333333331</v>
      </c>
      <c r="D24" s="18">
        <v>0.70833333333333337</v>
      </c>
      <c r="E24" s="19">
        <f>(D24-C24)-TIME(1,0,0)</f>
        <v>0.33333333333333337</v>
      </c>
    </row>
    <row r="25" spans="1:5" x14ac:dyDescent="0.3">
      <c r="A25" s="30" t="s">
        <v>37</v>
      </c>
      <c r="B25" s="17" t="s">
        <v>1</v>
      </c>
      <c r="C25" s="18">
        <v>0.33333333333333331</v>
      </c>
      <c r="D25" s="18">
        <v>0.70833333333333337</v>
      </c>
      <c r="E25" s="19">
        <f>(D25-C25)-TIME(1,0,0)</f>
        <v>0.33333333333333337</v>
      </c>
    </row>
    <row r="26" spans="1:5" x14ac:dyDescent="0.3">
      <c r="A26" s="31" t="s">
        <v>38</v>
      </c>
      <c r="B26" s="20" t="s">
        <v>2</v>
      </c>
      <c r="C26" s="21">
        <v>0.33333333333333331</v>
      </c>
      <c r="D26" s="21">
        <v>0.60416666666666663</v>
      </c>
      <c r="E26" s="22">
        <f>(D26-C26)-TIME(0,0,0)</f>
        <v>0.27083333333333331</v>
      </c>
    </row>
    <row r="29" spans="1:5" x14ac:dyDescent="0.3">
      <c r="D29" s="27" t="s">
        <v>22</v>
      </c>
      <c r="E29" s="28">
        <f>SUM($E$4:$E$26)</f>
        <v>6.3541666666666652</v>
      </c>
    </row>
  </sheetData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enero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Isabel R.</cp:lastModifiedBy>
  <dcterms:created xsi:type="dcterms:W3CDTF">2023-08-11T06:54:31Z</dcterms:created>
  <dcterms:modified xsi:type="dcterms:W3CDTF">2025-04-15T07:54:30Z</dcterms:modified>
</cp:coreProperties>
</file>